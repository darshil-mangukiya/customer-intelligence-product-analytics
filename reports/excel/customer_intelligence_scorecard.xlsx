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Scorecard" sheetId="1" state="visible" r:id="rId1"/>
    <sheet xmlns:r="http://schemas.openxmlformats.org/officeDocument/2006/relationships" name="Churn Segment Pivot" sheetId="2" state="visible" r:id="rId2"/>
    <sheet xmlns:r="http://schemas.openxmlformats.org/officeDocument/2006/relationships" name="CLV Segment Analysis" sheetId="3" state="visible" r:id="rId3"/>
    <sheet xmlns:r="http://schemas.openxmlformats.org/officeDocument/2006/relationships" name="Cohort Retention Matrix" sheetId="4" state="visible" r:id="rId4"/>
    <sheet xmlns:r="http://schemas.openxmlformats.org/officeDocument/2006/relationships" name="Product Leakage Analysis" sheetId="5" state="visible" r:id="rId5"/>
    <sheet xmlns:r="http://schemas.openxmlformats.org/officeDocument/2006/relationships" name="Campaign ROI Scenario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F4E78"/>
      <sz val="12"/>
    </font>
    <font>
      <name val="Aptos"/>
      <b val="1"/>
      <color rgb="00FFFFFF"/>
      <sz val="16"/>
    </font>
    <font>
      <name val="Aptos"/>
      <family val="2"/>
      <color theme="1"/>
      <sz val="11"/>
      <scheme val="minor"/>
    </font>
    <font>
      <name val="Aptos"/>
      <i val="1"/>
      <color rgb="00666666"/>
    </font>
    <font>
      <name val="Aptos"/>
      <b val="1"/>
      <color rgb="00FFFFFF"/>
    </font>
    <font>
      <name val="Aptos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medium">
        <color rgb="009EADCC"/>
      </top>
      <bottom style="medium">
        <color rgb="009EADCC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8" fillId="2" borderId="1" applyAlignment="1" pivotButton="0" quotePrefix="0" xfId="0">
      <alignment horizontal="center" wrapText="1"/>
    </xf>
    <xf numFmtId="0" fontId="6" fillId="4" borderId="2" applyAlignment="1" pivotButton="0" quotePrefix="0" xfId="0">
      <alignment vertical="top" wrapText="1"/>
    </xf>
    <xf numFmtId="164" fontId="6" fillId="4" borderId="2" applyAlignment="1" pivotButton="0" quotePrefix="0" xfId="0">
      <alignment horizontal="right" vertical="top"/>
    </xf>
    <xf numFmtId="0" fontId="6" fillId="5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164" fontId="6" fillId="3" borderId="2" applyAlignment="1" pivotButton="0" quotePrefix="0" xfId="0">
      <alignment horizontal="right" vertical="top"/>
    </xf>
    <xf numFmtId="165" fontId="6" fillId="4" borderId="2" applyAlignment="1" pivotButton="0" quotePrefix="0" xfId="0">
      <alignment horizontal="right" vertical="top"/>
    </xf>
    <xf numFmtId="0" fontId="9" fillId="3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6" fillId="3" borderId="2" applyAlignment="1" pivotButton="0" quotePrefix="0" xfId="0">
      <alignment horizontal="right" vertical="top"/>
    </xf>
    <xf numFmtId="0" fontId="6" fillId="4" borderId="2" applyAlignment="1" pivotButton="0" quotePrefix="0" xfId="0">
      <alignment horizontal="right" vertical="top"/>
    </xf>
    <xf numFmtId="0" fontId="7" fillId="5" borderId="0" applyAlignment="1" pivotButton="0" quotePrefix="0" xfId="0">
      <alignment horizontal="center"/>
    </xf>
    <xf numFmtId="164" fontId="6" fillId="4" borderId="2" applyAlignment="1" pivotButton="0" quotePrefix="0" xfId="0">
      <alignment vertical="top" wrapText="1"/>
    </xf>
    <xf numFmtId="165" fontId="6" fillId="3" borderId="2" applyAlignment="1" pivotButton="0" quotePrefix="0" xfId="0">
      <alignment horizontal="right" vertical="top"/>
    </xf>
    <xf numFmtId="164" fontId="6" fillId="3" borderId="2" applyAlignment="1" pivotButton="0" quotePrefix="0" xfId="0">
      <alignment vertical="top" wrapText="1"/>
    </xf>
    <xf numFmtId="165" fontId="6" fillId="4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165" fontId="6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KPI Scorecard'!B4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KPI Scorecard'!$A$5:$A$9</f>
            </numRef>
          </cat>
          <val>
            <numRef>
              <f>'Executive KPI Scorecard'!$B$5:$B$9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Priority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 Segment Pivot'!E4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Segment Pivot'!$A$5:$A$10</f>
            </numRef>
          </cat>
          <val>
            <numRef>
              <f>'Churn Segment Pivot'!$E$5:$E$10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High-CLV Audience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'CLV Segment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'CLV Segment Analysis'!$A$5:$A$10</f>
            </numRef>
          </cat>
          <val>
            <numRef>
              <f>'CLV Segment Analysis'!$C$5:$C$10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Retention Curve by Cohort</a:t>
            </a:r>
          </a:p>
        </rich>
      </tx>
    </title>
    <plotArea>
      <lineChart>
        <grouping val="standard"/>
        <ser>
          <idx val="0"/>
          <order val="0"/>
          <tx>
            <strRef>
              <f>'Cohort Retention Matrix'!C4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Matrix'!$C$5:$C$10</f>
            </numRef>
          </val>
        </ser>
        <ser>
          <idx val="1"/>
          <order val="1"/>
          <tx>
            <strRef>
              <f>'Cohort Retention Matrix'!D4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Matrix'!$D$5:$D$10</f>
            </numRef>
          </val>
        </ser>
        <ser>
          <idx val="2"/>
          <order val="2"/>
          <tx>
            <strRef>
              <f>'Cohort Retention Matrix'!E4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Matrix'!$E$5:$E$10</f>
            </numRef>
          </val>
        </ser>
        <ser>
          <idx val="3"/>
          <order val="3"/>
          <tx>
            <strRef>
              <f>'Cohort Retention Matrix'!F4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Matrix'!$F$5:$F$10</f>
            </numRef>
          </val>
        </ser>
        <ser>
          <idx val="4"/>
          <order val="4"/>
          <tx>
            <strRef>
              <f>'Cohort Retention Matrix'!G4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Matrix'!$G$5:$G$10</f>
            </numRef>
          </val>
        </ser>
        <ser>
          <idx val="5"/>
          <order val="5"/>
          <tx>
            <strRef>
              <f>'Cohort Retention Matrix'!H4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Matrix'!$H$5:$H$10</f>
            </numRef>
          </val>
        </ser>
        <ser>
          <idx val="6"/>
          <order val="6"/>
          <tx>
            <strRef>
              <f>'Cohort Retention Matrix'!I4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Matrix'!$I$5:$I$10</f>
            </numRef>
          </val>
        </ser>
        <ser>
          <idx val="7"/>
          <order val="7"/>
          <tx>
            <strRef>
              <f>'Cohort Retention Matrix'!J4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Matrix'!$J$5:$J$10</f>
            </numRef>
          </val>
        </ser>
        <ser>
          <idx val="8"/>
          <order val="8"/>
          <tx>
            <strRef>
              <f>'Cohort Retention Matrix'!K4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Matrix'!$K$5:$K$10</f>
            </numRef>
          </val>
        </ser>
        <ser>
          <idx val="9"/>
          <order val="9"/>
          <tx>
            <strRef>
              <f>'Cohort Retention Matrix'!L4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Matrix'!$L$5:$L$10</f>
            </numRef>
          </val>
        </ser>
        <ser>
          <idx val="10"/>
          <order val="10"/>
          <tx>
            <strRef>
              <f>'Cohort Retention Matrix'!M4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Matrix'!$M$5:$M$10</f>
            </numRef>
          </val>
        </ser>
        <ser>
          <idx val="11"/>
          <order val="11"/>
          <tx>
            <strRef>
              <f>'Cohort Retention Matrix'!N4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Matrix'!$N$5:$N$10</f>
            </numRef>
          </val>
        </ser>
        <ser>
          <idx val="12"/>
          <order val="12"/>
          <tx>
            <strRef>
              <f>'Cohort Retention Matrix'!O4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 Matrix'!$C$4:$O$4</f>
            </numRef>
          </cat>
          <val>
            <numRef>
              <f>'Cohort Retention Matrix'!$O$5:$O$10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Leakage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Leakage Analysis'!G4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Leakage Analysis'!$B$5:$B$9</f>
            </numRef>
          </cat>
          <val>
            <numRef>
              <f>'Product Leakage Analysis'!$G$5:$G$9</f>
            </numRef>
          </val>
        </ser>
        <ser>
          <idx val="1"/>
          <order val="1"/>
          <tx>
            <strRef>
              <f>'Product Leakage Analysis'!H4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Leakage Analysis'!$B$5:$B$9</f>
            </numRef>
          </cat>
          <val>
            <numRef>
              <f>'Product Leakage Analysis'!$H$5:$H$9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Incremental Profit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ROI Scenario'!J4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ROI Scenario'!$A$5:$A$9</f>
            </numRef>
          </cat>
          <val>
            <numRef>
              <f>'Campaign ROI Scenario'!$J$5:$J$9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3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ecutiveKPIs" displayName="ExecutiveKPIs" ref="A4:H9" headerRowCount="1">
  <autoFilter ref="A4:H9"/>
  <tableColumns count="8">
    <tableColumn id="1" name="KPI"/>
    <tableColumn id="2" name="Value"/>
    <tableColumn id="3" name="Display Format"/>
    <tableColumn id="4" name="Grain"/>
    <tableColumn id="5" name="Owner"/>
    <tableColumn id="6" name="Threshold"/>
    <tableColumn id="7" name="Status"/>
    <tableColumn id="8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urnSegmentPivot" displayName="ChurnSegmentPivot" ref="A4:G10" headerRowCount="1">
  <autoFilter ref="A4:G10"/>
  <tableColumns count="7">
    <tableColumn id="1" name="Segment"/>
    <tableColumn id="2" name="CLV Band"/>
    <tableColumn id="3" name="Customers"/>
    <tableColumn id="4" name="Avg Churn Probability"/>
    <tableColumn id="5" name="Avg Priority Score"/>
    <tableColumn id="6" name="Top Recommended Category"/>
    <tableColumn id="7" name="Priority T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VSegmentAnalysis" displayName="CLVSegmentAnalysis" ref="A4:G10" headerRowCount="1">
  <autoFilter ref="A4:G10"/>
  <tableColumns count="7">
    <tableColumn id="1" name="Segment"/>
    <tableColumn id="2" name="CLV Band"/>
    <tableColumn id="3" name="Customers"/>
    <tableColumn id="4" name="Avg Priority Score"/>
    <tableColumn id="5" name="Avg Churn Probability"/>
    <tableColumn id="6" name="Most Common Action"/>
    <tableColumn id="7" name="Retention Foc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hortRetentionMatrix" displayName="CohortRetentionMatrix" ref="A4:P10" headerRowCount="1">
  <autoFilter ref="A4:P10"/>
  <tableColumns count="16">
    <tableColumn id="1" name="Cohort Month"/>
    <tableColumn id="2" name="Cohort Size"/>
    <tableColumn id="3" name="Month 0"/>
    <tableColumn id="4" name="Month 1"/>
    <tableColumn id="5" name="Month 2"/>
    <tableColumn id="6" name="Month 3"/>
    <tableColumn id="7" name="Month 4"/>
    <tableColumn id="8" name="Month 5"/>
    <tableColumn id="9" name="Month 6"/>
    <tableColumn id="10" name="Month 7"/>
    <tableColumn id="11" name="Month 8"/>
    <tableColumn id="12" name="Month 9"/>
    <tableColumn id="13" name="Month 10"/>
    <tableColumn id="14" name="Month 11"/>
    <tableColumn id="15" name="Month 12"/>
    <tableColumn id="16" name="Month 12 Heal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LeakageAnalysis" displayName="ProductLeakageAnalysis" ref="A4:K9" headerRowCount="1">
  <autoFilter ref="A4:K9"/>
  <tableColumns count="11">
    <tableColumn id="1" name="Product ID"/>
    <tableColumn id="2" name="Category"/>
    <tableColumn id="3" name="Sub-category"/>
    <tableColumn id="4" name="Lifecycle Stage"/>
    <tableColumn id="5" name="Orders"/>
    <tableColumn id="6" name="Revenue"/>
    <tableColumn id="7" name="Discount Leakage"/>
    <tableColumn id="8" name="Return Leakage"/>
    <tableColumn id="9" name="Return-Adjusted Profit"/>
    <tableColumn id="10" name="Leakage Rate"/>
    <tableColumn id="11" name="Action 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mpaignROIScenario" displayName="CampaignROIScenario" ref="A4:L9" headerRowCount="1">
  <autoFilter ref="A4:L9"/>
  <tableColumns count="12">
    <tableColumn id="1" name="Campaign"/>
    <tableColumn id="2" name="Audience Size"/>
    <tableColumn id="3" name="Expected Response Rate"/>
    <tableColumn id="4" name="Incremental Revenue / Responder"/>
    <tableColumn id="5" name="Gross Margin %"/>
    <tableColumn id="6" name="Campaign Cost / Customer"/>
    <tableColumn id="7" name="Expected Revenue"/>
    <tableColumn id="8" name="Expected Gross Profit"/>
    <tableColumn id="9" name="Campaign Cost"/>
    <tableColumn id="10" name="Net Incremental Profit"/>
    <tableColumn id="11" name="ROI"/>
    <tableColumn id="12" name="Deci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orecardDataDictionary" displayName="ScorecardDataDictionary" ref="A4:E30" headerRowCount="1">
  <autoFilter ref="A4:E30"/>
  <tableColumns count="5">
    <tableColumn id="1" name="Item"/>
    <tableColumn id="2" name="Formula / Source"/>
    <tableColumn id="3" name="Business Meaning"/>
    <tableColumn id="4" name="Grain"/>
    <tableColumn id="5" name="Owner / 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24" customWidth="1" min="5" max="5"/>
    <col width="18" customWidth="1" min="6" max="6"/>
    <col width="14" customWidth="1" min="7" max="7"/>
    <col width="45" customWidth="1" min="8" max="8"/>
  </cols>
  <sheetData>
    <row r="1" ht="28" customHeight="1">
      <c r="A1" s="1" t="inlineStr">
        <is>
          <t>Customer Intelligence Scorecard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Synthetic/local simulation workbook generated from committed project outputs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KPI</t>
        </is>
      </c>
      <c r="B4" s="4" t="inlineStr">
        <is>
          <t>Value</t>
        </is>
      </c>
      <c r="C4" s="4" t="inlineStr">
        <is>
          <t>Display Format</t>
        </is>
      </c>
      <c r="D4" s="4" t="inlineStr">
        <is>
          <t>Grain</t>
        </is>
      </c>
      <c r="E4" s="4" t="inlineStr">
        <is>
          <t>Owner</t>
        </is>
      </c>
      <c r="F4" s="4" t="inlineStr">
        <is>
          <t>Threshold</t>
        </is>
      </c>
      <c r="G4" s="4" t="inlineStr">
        <is>
          <t>Status</t>
        </is>
      </c>
      <c r="H4" s="4" t="inlineStr">
        <is>
          <t>Source</t>
        </is>
      </c>
    </row>
    <row r="5" ht="22" customHeight="1">
      <c r="A5" s="5" t="inlineStr">
        <is>
          <t>Churn Rate</t>
        </is>
      </c>
      <c r="B5" s="6" t="n">
        <v>0.768</v>
      </c>
      <c r="C5" s="5" t="inlineStr">
        <is>
          <t>Percent</t>
        </is>
      </c>
      <c r="D5" s="5" t="inlineStr">
        <is>
          <t>Customer</t>
        </is>
      </c>
      <c r="E5" s="5" t="inlineStr">
        <is>
          <t>Customer Analytics</t>
        </is>
      </c>
      <c r="F5" s="5" t="inlineStr">
        <is>
          <t>&lt; 0.35</t>
        </is>
      </c>
      <c r="G5" s="7">
        <f>IF(OR(A5="Churn Rate",A5="Return Rate"),IF(B5&lt;0.35,"On Track","Review"),IF(A5="Retention Rate",IF(B5&gt;=0.65,"On Track","Review"),"Tracked"))</f>
        <v/>
      </c>
      <c r="H5" s="5" t="inlineStr">
        <is>
          <t>data/sample/customer_intelligence/kpi_summary_sample.csv</t>
        </is>
      </c>
    </row>
    <row r="6" ht="22" customHeight="1">
      <c r="A6" s="8" t="inlineStr">
        <is>
          <t>Retention Rate</t>
        </is>
      </c>
      <c r="B6" s="9" t="n">
        <v>0.232</v>
      </c>
      <c r="C6" s="8" t="inlineStr">
        <is>
          <t>Percent</t>
        </is>
      </c>
      <c r="D6" s="8" t="inlineStr">
        <is>
          <t>Customer</t>
        </is>
      </c>
      <c r="E6" s="8" t="inlineStr">
        <is>
          <t>Customer Analytics</t>
        </is>
      </c>
      <c r="F6" s="8" t="inlineStr">
        <is>
          <t>&gt;= 0.65</t>
        </is>
      </c>
      <c r="G6" s="7">
        <f>IF(OR(A6="Churn Rate",A6="Return Rate"),IF(B6&lt;0.35,"On Track","Review"),IF(A6="Retention Rate",IF(B6&gt;=0.65,"On Track","Review"),"Tracked"))</f>
        <v/>
      </c>
      <c r="H6" s="8" t="inlineStr">
        <is>
          <t>data/sample/customer_intelligence/kpi_summary_sample.csv</t>
        </is>
      </c>
    </row>
    <row r="7" ht="22" customHeight="1">
      <c r="A7" s="5" t="inlineStr">
        <is>
          <t>Average Order Value</t>
        </is>
      </c>
      <c r="B7" s="10" t="n">
        <v>78.45</v>
      </c>
      <c r="C7" s="5" t="inlineStr">
        <is>
          <t>Currency</t>
        </is>
      </c>
      <c r="D7" s="5" t="inlineStr">
        <is>
          <t>Order</t>
        </is>
      </c>
      <c r="E7" s="5" t="inlineStr">
        <is>
          <t>BI Engineering</t>
        </is>
      </c>
      <c r="F7" s="5" t="inlineStr">
        <is>
          <t>Tracked</t>
        </is>
      </c>
      <c r="G7" s="7">
        <f>IF(OR(A7="Churn Rate",A7="Return Rate"),IF(B7&lt;0.35,"On Track","Review"),IF(A7="Retention Rate",IF(B7&gt;=0.65,"On Track","Review"),"Tracked"))</f>
        <v/>
      </c>
      <c r="H7" s="5" t="inlineStr">
        <is>
          <t>data/sample/customer_intelligence/kpi_summary_sample.csv</t>
        </is>
      </c>
    </row>
    <row r="8" ht="22" customHeight="1">
      <c r="A8" s="8" t="inlineStr">
        <is>
          <t>Return Rate</t>
        </is>
      </c>
      <c r="B8" s="9" t="n">
        <v>0.112</v>
      </c>
      <c r="C8" s="8" t="inlineStr">
        <is>
          <t>Percent</t>
        </is>
      </c>
      <c r="D8" s="8" t="inlineStr">
        <is>
          <t>Order</t>
        </is>
      </c>
      <c r="E8" s="8" t="inlineStr">
        <is>
          <t>Product Analytics</t>
        </is>
      </c>
      <c r="F8" s="8" t="inlineStr">
        <is>
          <t>&lt; 0.10</t>
        </is>
      </c>
      <c r="G8" s="7">
        <f>IF(OR(A8="Churn Rate",A8="Return Rate"),IF(B8&lt;0.35,"On Track","Review"),IF(A8="Retention Rate",IF(B8&gt;=0.65,"On Track","Review"),"Tracked"))</f>
        <v/>
      </c>
      <c r="H8" s="8" t="inlineStr">
        <is>
          <t>data/sample/customer_intelligence/kpi_summary_sample.csv</t>
        </is>
      </c>
    </row>
    <row r="9" ht="22" customHeight="1">
      <c r="A9" s="5" t="inlineStr">
        <is>
          <t>Revenue Leakage from Returns and Discounts</t>
        </is>
      </c>
      <c r="B9" s="10" t="n">
        <v>28247631.39</v>
      </c>
      <c r="C9" s="5" t="inlineStr">
        <is>
          <t>Currency</t>
        </is>
      </c>
      <c r="D9" s="5" t="inlineStr">
        <is>
          <t>Company</t>
        </is>
      </c>
      <c r="E9" s="5" t="inlineStr">
        <is>
          <t>Finance / BI</t>
        </is>
      </c>
      <c r="F9" s="5" t="inlineStr">
        <is>
          <t>Tracked</t>
        </is>
      </c>
      <c r="G9" s="7">
        <f>IF(OR(A9="Churn Rate",A9="Return Rate"),IF(B9&lt;0.35,"On Track","Review"),IF(A9="Retention Rate",IF(B9&gt;=0.65,"On Track","Review"),"Tracked"))</f>
        <v/>
      </c>
      <c r="H9" s="5" t="inlineStr">
        <is>
          <t>data/sample/customer_intelligence/kpi_summary_sample.csv</t>
        </is>
      </c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2" customHeight="1">
      <c r="A12" s="11" t="inlineStr">
        <is>
          <t>Model and Quality Snapshot</t>
        </is>
      </c>
      <c r="B12" s="8" t="n"/>
      <c r="C12" s="8" t="n"/>
      <c r="D12" s="8" t="n"/>
      <c r="E12" s="8" t="n"/>
      <c r="F12" s="8" t="n"/>
      <c r="G12" s="8" t="n"/>
      <c r="H12" s="8" t="n"/>
    </row>
    <row r="13" ht="22" customHeight="1">
      <c r="A13" s="12" t="inlineStr">
        <is>
          <t>Artifact</t>
        </is>
      </c>
      <c r="B13" s="12" t="inlineStr">
        <is>
          <t>Primary metric/check</t>
        </is>
      </c>
      <c r="C13" s="12" t="inlineStr">
        <is>
          <t>Value</t>
        </is>
      </c>
      <c r="D13" s="12" t="inlineStr">
        <is>
          <t>Status</t>
        </is>
      </c>
      <c r="E13" s="5" t="n"/>
      <c r="F13" s="5" t="n"/>
      <c r="G13" s="5" t="n"/>
      <c r="H13" s="5" t="n"/>
    </row>
    <row r="14" ht="22" customHeight="1">
      <c r="A14" s="8" t="inlineStr">
        <is>
          <t>churn_model</t>
        </is>
      </c>
      <c r="B14" s="8" t="inlineStr">
        <is>
          <t>roc_auc</t>
        </is>
      </c>
      <c r="C14" s="13" t="n">
        <v>0.9952</v>
      </c>
      <c r="D14" s="8" t="inlineStr">
        <is>
          <t>Tracked</t>
        </is>
      </c>
      <c r="E14" s="8" t="n"/>
      <c r="F14" s="8" t="n"/>
      <c r="G14" s="8" t="n"/>
      <c r="H14" s="8" t="n"/>
    </row>
    <row r="15" ht="22" customHeight="1">
      <c r="A15" s="5" t="inlineStr">
        <is>
          <t>clv_model</t>
        </is>
      </c>
      <c r="B15" s="5" t="inlineStr">
        <is>
          <t>r2</t>
        </is>
      </c>
      <c r="C15" s="14" t="n">
        <v>0.3663</v>
      </c>
      <c r="D15" s="5" t="inlineStr">
        <is>
          <t>Tracked</t>
        </is>
      </c>
      <c r="E15" s="5" t="n"/>
      <c r="F15" s="5" t="n"/>
      <c r="G15" s="5" t="n"/>
      <c r="H15" s="5" t="n"/>
    </row>
    <row r="16" ht="22" customHeight="1">
      <c r="A16" s="8" t="inlineStr">
        <is>
          <t>segmentation_model</t>
        </is>
      </c>
      <c r="B16" s="8" t="inlineStr">
        <is>
          <t>silhouette_score</t>
        </is>
      </c>
      <c r="C16" s="13" t="n">
        <v>0.2769</v>
      </c>
      <c r="D16" s="8" t="inlineStr">
        <is>
          <t>Tracked</t>
        </is>
      </c>
      <c r="E16" s="8" t="n"/>
      <c r="F16" s="8" t="n"/>
      <c r="G16" s="8" t="n"/>
      <c r="H16" s="8" t="n"/>
    </row>
    <row r="17" ht="22" customHeight="1">
      <c r="A17" s="5" t="inlineStr">
        <is>
          <t>accepted_values</t>
        </is>
      </c>
      <c r="B17" s="5" t="inlineStr">
        <is>
          <t>2/2 checks passing</t>
        </is>
      </c>
      <c r="C17" s="14" t="n">
        <v>0</v>
      </c>
      <c r="D17" s="5" t="inlineStr">
        <is>
          <t>PASS</t>
        </is>
      </c>
      <c r="E17" s="5" t="n"/>
      <c r="F17" s="5" t="n"/>
      <c r="G17" s="5" t="n"/>
      <c r="H17" s="5" t="n"/>
    </row>
    <row r="18" ht="22" customHeight="1">
      <c r="A18" s="8" t="inlineStr">
        <is>
          <t>freshness</t>
        </is>
      </c>
      <c r="B18" s="8" t="inlineStr">
        <is>
          <t>1/1 checks passing</t>
        </is>
      </c>
      <c r="C18" s="13" t="n">
        <v>0</v>
      </c>
      <c r="D18" s="8" t="inlineStr">
        <is>
          <t>PASS</t>
        </is>
      </c>
      <c r="E18" s="8" t="n"/>
      <c r="F18" s="8" t="n"/>
      <c r="G18" s="8" t="n"/>
      <c r="H18" s="8" t="n"/>
    </row>
    <row r="19" ht="22" customHeight="1">
      <c r="A19" s="5" t="inlineStr">
        <is>
          <t>key_integrity</t>
        </is>
      </c>
      <c r="B19" s="5" t="inlineStr">
        <is>
          <t>10/10 checks passing</t>
        </is>
      </c>
      <c r="C19" s="14" t="n">
        <v>0</v>
      </c>
      <c r="D19" s="5" t="inlineStr">
        <is>
          <t>PASS</t>
        </is>
      </c>
      <c r="E19" s="5" t="n"/>
      <c r="F19" s="5" t="n"/>
      <c r="G19" s="5" t="n"/>
      <c r="H19" s="5" t="n"/>
    </row>
    <row r="20" ht="22" customHeight="1">
      <c r="A20" s="8" t="inlineStr">
        <is>
          <t>metric_reconciliation</t>
        </is>
      </c>
      <c r="B20" s="8" t="inlineStr">
        <is>
          <t>1/1 checks passing</t>
        </is>
      </c>
      <c r="C20" s="13" t="n">
        <v>0</v>
      </c>
      <c r="D20" s="8" t="inlineStr">
        <is>
          <t>PASS</t>
        </is>
      </c>
      <c r="E20" s="8" t="n"/>
      <c r="F20" s="8" t="n"/>
      <c r="G20" s="8" t="n"/>
      <c r="H20" s="8" t="n"/>
    </row>
    <row r="21" ht="22" customHeight="1">
      <c r="A21" s="5" t="inlineStr">
        <is>
          <t>numeric_ranges</t>
        </is>
      </c>
      <c r="B21" s="5" t="inlineStr">
        <is>
          <t>4/4 checks passing</t>
        </is>
      </c>
      <c r="C21" s="14" t="n">
        <v>0</v>
      </c>
      <c r="D21" s="5" t="inlineStr">
        <is>
          <t>PASS</t>
        </is>
      </c>
      <c r="E21" s="5" t="n"/>
      <c r="F21" s="5" t="n"/>
      <c r="G21" s="5" t="n"/>
      <c r="H21" s="5" t="n"/>
    </row>
    <row r="22" ht="22" customHeight="1">
      <c r="A22" s="8" t="inlineStr">
        <is>
          <t>raw_volume</t>
        </is>
      </c>
      <c r="B22" s="8" t="inlineStr">
        <is>
          <t>5/5 checks passing</t>
        </is>
      </c>
      <c r="C22" s="13" t="n">
        <v>0</v>
      </c>
      <c r="D22" s="8" t="inlineStr">
        <is>
          <t>PASS</t>
        </is>
      </c>
      <c r="E22" s="8" t="n"/>
      <c r="F22" s="8" t="n"/>
      <c r="G22" s="8" t="n"/>
      <c r="H22" s="8" t="n"/>
    </row>
    <row r="23" ht="22" customHeight="1">
      <c r="A23" s="5" t="inlineStr">
        <is>
          <t>referential_integrity</t>
        </is>
      </c>
      <c r="B23" s="5" t="inlineStr">
        <is>
          <t>2/2 checks passing</t>
        </is>
      </c>
      <c r="C23" s="14" t="n">
        <v>0</v>
      </c>
      <c r="D23" s="5" t="inlineStr">
        <is>
          <t>PASS</t>
        </is>
      </c>
      <c r="E23" s="5" t="n"/>
      <c r="F23" s="5" t="n"/>
      <c r="G23" s="5" t="n"/>
      <c r="H23" s="5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0" customWidth="1" min="4" max="4"/>
    <col width="18" customWidth="1" min="5" max="5"/>
    <col width="26" customWidth="1" min="6" max="6"/>
    <col width="14" customWidth="1" min="7" max="7"/>
  </cols>
  <sheetData>
    <row r="1" ht="28" customHeight="1">
      <c r="A1" s="1" t="inlineStr">
        <is>
          <t>Churn Segment Pivot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Segment-level summary from activation_churn_campaign.csv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Segment</t>
        </is>
      </c>
      <c r="B4" s="4" t="inlineStr">
        <is>
          <t>CLV Band</t>
        </is>
      </c>
      <c r="C4" s="4" t="inlineStr">
        <is>
          <t>Customers</t>
        </is>
      </c>
      <c r="D4" s="4" t="inlineStr">
        <is>
          <t>Avg Churn Probability</t>
        </is>
      </c>
      <c r="E4" s="4" t="inlineStr">
        <is>
          <t>Avg Priority Score</t>
        </is>
      </c>
      <c r="F4" s="4" t="inlineStr">
        <is>
          <t>Top Recommended Category</t>
        </is>
      </c>
      <c r="G4" s="4" t="inlineStr">
        <is>
          <t>Priority Tier</t>
        </is>
      </c>
      <c r="H4" s="2" t="n"/>
    </row>
    <row r="5" ht="22" customHeight="1">
      <c r="A5" s="7" t="inlineStr">
        <is>
          <t>High Value Loyal Customers 2</t>
        </is>
      </c>
      <c r="B5" s="5" t="inlineStr">
        <is>
          <t>Elite</t>
        </is>
      </c>
      <c r="C5" s="14" t="n">
        <v>4</v>
      </c>
      <c r="D5" s="6" t="n">
        <v>1</v>
      </c>
      <c r="E5" s="14" t="n">
        <v>91.63499999999999</v>
      </c>
      <c r="F5" s="5" t="inlineStr">
        <is>
          <t>Beauty</t>
        </is>
      </c>
      <c r="G5" s="7">
        <f>IF(E5&gt;=85,"High",IF(E5&gt;=70,"Medium","Monitor"))</f>
        <v/>
      </c>
      <c r="H5" s="2" t="n"/>
    </row>
    <row r="6" ht="22" customHeight="1">
      <c r="A6" s="8" t="inlineStr">
        <is>
          <t>Discount-driven Buyers</t>
        </is>
      </c>
      <c r="B6" s="8" t="inlineStr">
        <is>
          <t>Elite</t>
        </is>
      </c>
      <c r="C6" s="13" t="n">
        <v>9</v>
      </c>
      <c r="D6" s="9" t="n">
        <v>1</v>
      </c>
      <c r="E6" s="13" t="n">
        <v>91.29555555555555</v>
      </c>
      <c r="F6" s="8" t="inlineStr">
        <is>
          <t>Beauty</t>
        </is>
      </c>
      <c r="G6" s="7">
        <f>IF(E6&gt;=85,"High",IF(E6&gt;=70,"Medium","Monitor"))</f>
        <v/>
      </c>
      <c r="H6" s="2" t="n"/>
    </row>
    <row r="7" ht="22" customHeight="1">
      <c r="A7" s="7" t="inlineStr">
        <is>
          <t>High Value Loyal Customers 2</t>
        </is>
      </c>
      <c r="B7" s="7" t="inlineStr">
        <is>
          <t>High</t>
        </is>
      </c>
      <c r="C7" s="14" t="n">
        <v>2</v>
      </c>
      <c r="D7" s="6" t="n">
        <v>1</v>
      </c>
      <c r="E7" s="14" t="n">
        <v>88.70500000000001</v>
      </c>
      <c r="F7" s="5" t="inlineStr">
        <is>
          <t>Beauty</t>
        </is>
      </c>
      <c r="G7" s="7">
        <f>IF(E7&gt;=85,"High",IF(E7&gt;=70,"Medium","Monitor"))</f>
        <v/>
      </c>
      <c r="H7" s="2" t="n"/>
    </row>
    <row r="8" ht="22" customHeight="1">
      <c r="A8" s="8" t="inlineStr">
        <is>
          <t>Discount-driven Buyers</t>
        </is>
      </c>
      <c r="B8" s="7" t="inlineStr">
        <is>
          <t>High</t>
        </is>
      </c>
      <c r="C8" s="13" t="n">
        <v>142</v>
      </c>
      <c r="D8" s="9" t="n">
        <v>1</v>
      </c>
      <c r="E8" s="13" t="n">
        <v>88.27725352112677</v>
      </c>
      <c r="F8" s="8" t="inlineStr">
        <is>
          <t>Beauty</t>
        </is>
      </c>
      <c r="G8" s="7">
        <f>IF(E8&gt;=85,"High",IF(E8&gt;=70,"Medium","Monitor"))</f>
        <v/>
      </c>
      <c r="H8" s="2" t="n"/>
    </row>
    <row r="9" ht="22" customHeight="1">
      <c r="A9" s="5" t="inlineStr">
        <is>
          <t>One-time Buyers</t>
        </is>
      </c>
      <c r="B9" s="5" t="inlineStr">
        <is>
          <t>Mid</t>
        </is>
      </c>
      <c r="C9" s="14" t="n">
        <v>2</v>
      </c>
      <c r="D9" s="6" t="n">
        <v>1</v>
      </c>
      <c r="E9" s="14" t="n">
        <v>86.63</v>
      </c>
      <c r="F9" s="5" t="inlineStr">
        <is>
          <t>Beauty</t>
        </is>
      </c>
      <c r="G9" s="7">
        <f>IF(E9&gt;=85,"High",IF(E9&gt;=70,"Medium","Monitor"))</f>
        <v/>
      </c>
      <c r="H9" s="2" t="n"/>
    </row>
    <row r="10" ht="22" customHeight="1">
      <c r="A10" s="8" t="inlineStr">
        <is>
          <t>Discount-driven Buyers</t>
        </is>
      </c>
      <c r="B10" s="8" t="inlineStr">
        <is>
          <t>Mid</t>
        </is>
      </c>
      <c r="C10" s="13" t="n">
        <v>91</v>
      </c>
      <c r="D10" s="9" t="n">
        <v>1</v>
      </c>
      <c r="E10" s="13" t="n">
        <v>86.57648351648352</v>
      </c>
      <c r="F10" s="8" t="inlineStr">
        <is>
          <t>Beauty</t>
        </is>
      </c>
      <c r="G10" s="7">
        <f>IF(E10&gt;=85,"High",IF(E10&gt;=70,"Medium","Monitor"))</f>
        <v/>
      </c>
      <c r="H10" s="2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8" customWidth="1" min="4" max="4"/>
    <col width="20" customWidth="1" min="5" max="5"/>
    <col width="26" customWidth="1" min="6" max="6"/>
    <col width="22" customWidth="1" min="7" max="7"/>
  </cols>
  <sheetData>
    <row r="1" ht="28" customHeight="1">
      <c r="A1" s="1" t="inlineStr">
        <is>
          <t>CLV Segment Analysis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15" t="inlineStr">
        <is>
          <t>High-CLV sample audience by segment and value band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Segment</t>
        </is>
      </c>
      <c r="B4" s="4" t="inlineStr">
        <is>
          <t>CLV Band</t>
        </is>
      </c>
      <c r="C4" s="4" t="inlineStr">
        <is>
          <t>Customers</t>
        </is>
      </c>
      <c r="D4" s="4" t="inlineStr">
        <is>
          <t>Avg Priority Score</t>
        </is>
      </c>
      <c r="E4" s="4" t="inlineStr">
        <is>
          <t>Avg Churn Probability</t>
        </is>
      </c>
      <c r="F4" s="4" t="inlineStr">
        <is>
          <t>Most Common Action</t>
        </is>
      </c>
      <c r="G4" s="4" t="inlineStr">
        <is>
          <t>Retention Focus</t>
        </is>
      </c>
      <c r="H4" s="2" t="n"/>
    </row>
    <row r="5" ht="22" customHeight="1">
      <c r="A5" s="5" t="inlineStr">
        <is>
          <t>Discount-driven Buyers</t>
        </is>
      </c>
      <c r="B5" s="7" t="inlineStr">
        <is>
          <t>High</t>
        </is>
      </c>
      <c r="C5" s="14" t="n">
        <v>142</v>
      </c>
      <c r="D5" s="14" t="n">
        <v>88.27725352112677</v>
      </c>
      <c r="E5" s="6" t="n">
        <v>1</v>
      </c>
      <c r="F5" s="5" t="inlineStr">
        <is>
          <t>VIP retention treatment</t>
        </is>
      </c>
      <c r="G5" s="7">
        <f>IF(E5&gt;=0.8,"Protect immediately",IF(D5&gt;=75,"Priority nurture","Monitor"))</f>
        <v/>
      </c>
      <c r="H5" s="2" t="n"/>
    </row>
    <row r="6" ht="22" customHeight="1">
      <c r="A6" s="8" t="inlineStr">
        <is>
          <t>Discount-driven Buyers</t>
        </is>
      </c>
      <c r="B6" s="8" t="inlineStr">
        <is>
          <t>Mid</t>
        </is>
      </c>
      <c r="C6" s="13" t="n">
        <v>91</v>
      </c>
      <c r="D6" s="13" t="n">
        <v>86.57648351648352</v>
      </c>
      <c r="E6" s="9" t="n">
        <v>1</v>
      </c>
      <c r="F6" s="8" t="inlineStr">
        <is>
          <t>VIP retention treatment</t>
        </is>
      </c>
      <c r="G6" s="7">
        <f>IF(E6&gt;=0.8,"Protect immediately",IF(D6&gt;=75,"Priority nurture","Monitor"))</f>
        <v/>
      </c>
      <c r="H6" s="2" t="n"/>
    </row>
    <row r="7" ht="22" customHeight="1">
      <c r="A7" s="5" t="inlineStr">
        <is>
          <t>Discount-driven Buyers</t>
        </is>
      </c>
      <c r="B7" s="5" t="inlineStr">
        <is>
          <t>Elite</t>
        </is>
      </c>
      <c r="C7" s="14" t="n">
        <v>9</v>
      </c>
      <c r="D7" s="14" t="n">
        <v>91.29555555555555</v>
      </c>
      <c r="E7" s="6" t="n">
        <v>1</v>
      </c>
      <c r="F7" s="5" t="inlineStr">
        <is>
          <t>VIP retention treatment</t>
        </is>
      </c>
      <c r="G7" s="7">
        <f>IF(E7&gt;=0.8,"Protect immediately",IF(D7&gt;=75,"Priority nurture","Monitor"))</f>
        <v/>
      </c>
      <c r="H7" s="2" t="n"/>
    </row>
    <row r="8" ht="22" customHeight="1">
      <c r="A8" s="7" t="inlineStr">
        <is>
          <t>High Value Loyal Customers 2</t>
        </is>
      </c>
      <c r="B8" s="8" t="inlineStr">
        <is>
          <t>Elite</t>
        </is>
      </c>
      <c r="C8" s="13" t="n">
        <v>4</v>
      </c>
      <c r="D8" s="13" t="n">
        <v>91.63499999999999</v>
      </c>
      <c r="E8" s="9" t="n">
        <v>1</v>
      </c>
      <c r="F8" s="8" t="inlineStr">
        <is>
          <t>VIP retention treatment</t>
        </is>
      </c>
      <c r="G8" s="7">
        <f>IF(E8&gt;=0.8,"Protect immediately",IF(D8&gt;=75,"Priority nurture","Monitor"))</f>
        <v/>
      </c>
      <c r="H8" s="2" t="n"/>
    </row>
    <row r="9" ht="22" customHeight="1">
      <c r="A9" s="7" t="inlineStr">
        <is>
          <t>High Value Loyal Customers 2</t>
        </is>
      </c>
      <c r="B9" s="7" t="inlineStr">
        <is>
          <t>High</t>
        </is>
      </c>
      <c r="C9" s="14" t="n">
        <v>2</v>
      </c>
      <c r="D9" s="14" t="n">
        <v>88.70500000000001</v>
      </c>
      <c r="E9" s="6" t="n">
        <v>1</v>
      </c>
      <c r="F9" s="5" t="inlineStr">
        <is>
          <t>VIP retention treatment</t>
        </is>
      </c>
      <c r="G9" s="7">
        <f>IF(E9&gt;=0.8,"Protect immediately",IF(D9&gt;=75,"Priority nurture","Monitor"))</f>
        <v/>
      </c>
      <c r="H9" s="2" t="n"/>
    </row>
    <row r="10" ht="22" customHeight="1">
      <c r="A10" s="8" t="inlineStr">
        <is>
          <t>One-time Buyers</t>
        </is>
      </c>
      <c r="B10" s="8" t="inlineStr">
        <is>
          <t>Mid</t>
        </is>
      </c>
      <c r="C10" s="13" t="n">
        <v>2</v>
      </c>
      <c r="D10" s="13" t="n">
        <v>86.63</v>
      </c>
      <c r="E10" s="9" t="n">
        <v>1</v>
      </c>
      <c r="F10" s="8" t="inlineStr">
        <is>
          <t>VIP retention treatment</t>
        </is>
      </c>
      <c r="G10" s="7">
        <f>IF(E10&gt;=0.8,"Protect immediately",IF(D10&gt;=75,"Priority nurture","Monitor"))</f>
        <v/>
      </c>
      <c r="H10" s="2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6" customWidth="1" min="16" max="16"/>
  </cols>
  <sheetData>
    <row r="1" ht="28" customHeight="1">
      <c r="A1" s="1" t="inlineStr">
        <is>
          <t>Cohort Retention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4" customHeight="1">
      <c r="A2" s="3" t="inlineStr">
        <is>
          <t>Sample Month 0 through Month 12 retention curve for dashboard layout validation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2" customHeight="1">
      <c r="A4" s="4" t="inlineStr">
        <is>
          <t>Cohort Month</t>
        </is>
      </c>
      <c r="B4" s="4" t="inlineStr">
        <is>
          <t>Cohort Size</t>
        </is>
      </c>
      <c r="C4" s="4" t="inlineStr">
        <is>
          <t>Month 0</t>
        </is>
      </c>
      <c r="D4" s="4" t="inlineStr">
        <is>
          <t>Month 1</t>
        </is>
      </c>
      <c r="E4" s="4" t="inlineStr">
        <is>
          <t>Month 2</t>
        </is>
      </c>
      <c r="F4" s="4" t="inlineStr">
        <is>
          <t>Month 3</t>
        </is>
      </c>
      <c r="G4" s="4" t="inlineStr">
        <is>
          <t>Month 4</t>
        </is>
      </c>
      <c r="H4" s="4" t="inlineStr">
        <is>
          <t>Month 5</t>
        </is>
      </c>
      <c r="I4" s="4" t="inlineStr">
        <is>
          <t>Month 6</t>
        </is>
      </c>
      <c r="J4" s="4" t="inlineStr">
        <is>
          <t>Month 7</t>
        </is>
      </c>
      <c r="K4" s="4" t="inlineStr">
        <is>
          <t>Month 8</t>
        </is>
      </c>
      <c r="L4" s="4" t="inlineStr">
        <is>
          <t>Month 9</t>
        </is>
      </c>
      <c r="M4" s="4" t="inlineStr">
        <is>
          <t>Month 10</t>
        </is>
      </c>
      <c r="N4" s="4" t="inlineStr">
        <is>
          <t>Month 11</t>
        </is>
      </c>
      <c r="O4" s="4" t="inlineStr">
        <is>
          <t>Month 12</t>
        </is>
      </c>
      <c r="P4" s="4" t="inlineStr">
        <is>
          <t>Month 12 Health</t>
        </is>
      </c>
    </row>
    <row r="5" ht="22" customHeight="1">
      <c r="A5" s="5" t="inlineStr">
        <is>
          <t>2025-01</t>
        </is>
      </c>
      <c r="B5" s="14" t="n">
        <v>4200</v>
      </c>
      <c r="C5" s="6" t="n">
        <v>0.97</v>
      </c>
      <c r="D5" s="6" t="n">
        <v>0.592</v>
      </c>
      <c r="E5" s="6" t="n">
        <v>0.504</v>
      </c>
      <c r="F5" s="6" t="n">
        <v>0.446</v>
      </c>
      <c r="G5" s="6" t="n">
        <v>0.398</v>
      </c>
      <c r="H5" s="6" t="n">
        <v>0.359</v>
      </c>
      <c r="I5" s="6" t="n">
        <v>0.33</v>
      </c>
      <c r="J5" s="6" t="n">
        <v>0.301</v>
      </c>
      <c r="K5" s="6" t="n">
        <v>0.281</v>
      </c>
      <c r="L5" s="6" t="n">
        <v>0.262</v>
      </c>
      <c r="M5" s="6" t="n">
        <v>0.242</v>
      </c>
      <c r="N5" s="6" t="n">
        <v>0.223</v>
      </c>
      <c r="O5" s="6" t="n">
        <v>0.213</v>
      </c>
      <c r="P5" s="7">
        <f>IF(O5&gt;=0.25,"Healthy",IF(O5&gt;=0.18,"Monitor","Review"))</f>
        <v/>
      </c>
    </row>
    <row r="6" ht="22" customHeight="1">
      <c r="A6" s="8" t="inlineStr">
        <is>
          <t>2025-02</t>
        </is>
      </c>
      <c r="B6" s="13" t="n">
        <v>4550</v>
      </c>
      <c r="C6" s="9" t="n">
        <v>0.985</v>
      </c>
      <c r="D6" s="9" t="n">
        <v>0.601</v>
      </c>
      <c r="E6" s="9" t="n">
        <v>0.512</v>
      </c>
      <c r="F6" s="9" t="n">
        <v>0.453</v>
      </c>
      <c r="G6" s="9" t="n">
        <v>0.404</v>
      </c>
      <c r="H6" s="9" t="n">
        <v>0.364</v>
      </c>
      <c r="I6" s="9" t="n">
        <v>0.335</v>
      </c>
      <c r="J6" s="9" t="n">
        <v>0.305</v>
      </c>
      <c r="K6" s="9" t="n">
        <v>0.286</v>
      </c>
      <c r="L6" s="9" t="n">
        <v>0.266</v>
      </c>
      <c r="M6" s="9" t="n">
        <v>0.246</v>
      </c>
      <c r="N6" s="9" t="n">
        <v>0.227</v>
      </c>
      <c r="O6" s="9" t="n">
        <v>0.217</v>
      </c>
      <c r="P6" s="7">
        <f>IF(O6&gt;=0.25,"Healthy",IF(O6&gt;=0.18,"Monitor","Review"))</f>
        <v/>
      </c>
    </row>
    <row r="7" ht="22" customHeight="1">
      <c r="A7" s="5" t="inlineStr">
        <is>
          <t>2025-03</t>
        </is>
      </c>
      <c r="B7" s="14" t="n">
        <v>4900</v>
      </c>
      <c r="C7" s="6" t="n">
        <v>1</v>
      </c>
      <c r="D7" s="6" t="n">
        <v>0.61</v>
      </c>
      <c r="E7" s="6" t="n">
        <v>0.52</v>
      </c>
      <c r="F7" s="6" t="n">
        <v>0.46</v>
      </c>
      <c r="G7" s="6" t="n">
        <v>0.41</v>
      </c>
      <c r="H7" s="6" t="n">
        <v>0.37</v>
      </c>
      <c r="I7" s="6" t="n">
        <v>0.34</v>
      </c>
      <c r="J7" s="6" t="n">
        <v>0.31</v>
      </c>
      <c r="K7" s="6" t="n">
        <v>0.29</v>
      </c>
      <c r="L7" s="6" t="n">
        <v>0.27</v>
      </c>
      <c r="M7" s="6" t="n">
        <v>0.25</v>
      </c>
      <c r="N7" s="6" t="n">
        <v>0.23</v>
      </c>
      <c r="O7" s="6" t="n">
        <v>0.22</v>
      </c>
      <c r="P7" s="7">
        <f>IF(O7&gt;=0.25,"Healthy",IF(O7&gt;=0.18,"Monitor","Review"))</f>
        <v/>
      </c>
    </row>
    <row r="8" ht="22" customHeight="1">
      <c r="A8" s="8" t="inlineStr">
        <is>
          <t>2025-04</t>
        </is>
      </c>
      <c r="B8" s="13" t="n">
        <v>5250</v>
      </c>
      <c r="C8" s="9" t="n">
        <v>1.015</v>
      </c>
      <c r="D8" s="9" t="n">
        <v>0.619</v>
      </c>
      <c r="E8" s="9" t="n">
        <v>0.528</v>
      </c>
      <c r="F8" s="9" t="n">
        <v>0.467</v>
      </c>
      <c r="G8" s="9" t="n">
        <v>0.416</v>
      </c>
      <c r="H8" s="9" t="n">
        <v>0.376</v>
      </c>
      <c r="I8" s="9" t="n">
        <v>0.345</v>
      </c>
      <c r="J8" s="9" t="n">
        <v>0.315</v>
      </c>
      <c r="K8" s="9" t="n">
        <v>0.294</v>
      </c>
      <c r="L8" s="9" t="n">
        <v>0.274</v>
      </c>
      <c r="M8" s="9" t="n">
        <v>0.254</v>
      </c>
      <c r="N8" s="9" t="n">
        <v>0.233</v>
      </c>
      <c r="O8" s="9" t="n">
        <v>0.223</v>
      </c>
      <c r="P8" s="7">
        <f>IF(O8&gt;=0.25,"Healthy",IF(O8&gt;=0.18,"Monitor","Review"))</f>
        <v/>
      </c>
    </row>
    <row r="9" ht="22" customHeight="1">
      <c r="A9" s="5" t="inlineStr">
        <is>
          <t>2025-05</t>
        </is>
      </c>
      <c r="B9" s="14" t="n">
        <v>5600</v>
      </c>
      <c r="C9" s="6" t="n">
        <v>1.03</v>
      </c>
      <c r="D9" s="6" t="n">
        <v>0.628</v>
      </c>
      <c r="E9" s="6" t="n">
        <v>0.536</v>
      </c>
      <c r="F9" s="6" t="n">
        <v>0.474</v>
      </c>
      <c r="G9" s="6" t="n">
        <v>0.422</v>
      </c>
      <c r="H9" s="6" t="n">
        <v>0.381</v>
      </c>
      <c r="I9" s="6" t="n">
        <v>0.35</v>
      </c>
      <c r="J9" s="6" t="n">
        <v>0.319</v>
      </c>
      <c r="K9" s="6" t="n">
        <v>0.299</v>
      </c>
      <c r="L9" s="6" t="n">
        <v>0.278</v>
      </c>
      <c r="M9" s="6" t="n">
        <v>0.258</v>
      </c>
      <c r="N9" s="6" t="n">
        <v>0.237</v>
      </c>
      <c r="O9" s="6" t="n">
        <v>0.227</v>
      </c>
      <c r="P9" s="7">
        <f>IF(O9&gt;=0.25,"Healthy",IF(O9&gt;=0.18,"Monitor","Review"))</f>
        <v/>
      </c>
    </row>
    <row r="10" ht="22" customHeight="1">
      <c r="A10" s="8" t="inlineStr">
        <is>
          <t>2025-06</t>
        </is>
      </c>
      <c r="B10" s="13" t="n">
        <v>5950</v>
      </c>
      <c r="C10" s="9" t="n">
        <v>1.045</v>
      </c>
      <c r="D10" s="9" t="n">
        <v>0.637</v>
      </c>
      <c r="E10" s="9" t="n">
        <v>0.543</v>
      </c>
      <c r="F10" s="9" t="n">
        <v>0.481</v>
      </c>
      <c r="G10" s="9" t="n">
        <v>0.428</v>
      </c>
      <c r="H10" s="9" t="n">
        <v>0.387</v>
      </c>
      <c r="I10" s="9" t="n">
        <v>0.355</v>
      </c>
      <c r="J10" s="9" t="n">
        <v>0.324</v>
      </c>
      <c r="K10" s="9" t="n">
        <v>0.303</v>
      </c>
      <c r="L10" s="9" t="n">
        <v>0.282</v>
      </c>
      <c r="M10" s="9" t="n">
        <v>0.261</v>
      </c>
      <c r="N10" s="9" t="n">
        <v>0.24</v>
      </c>
      <c r="O10" s="9" t="n">
        <v>0.23</v>
      </c>
      <c r="P10" s="7">
        <f>IF(O10&gt;=0.25,"Healthy",IF(O10&gt;=0.18,"Monitor","Review"))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6" customWidth="1" min="4" max="4"/>
    <col width="10" customWidth="1" min="5" max="5"/>
    <col width="14" customWidth="1" min="6" max="6"/>
    <col width="18" customWidth="1" min="7" max="7"/>
    <col width="16" customWidth="1" min="8" max="8"/>
    <col width="22" customWidth="1" min="9" max="9"/>
    <col width="14" customWidth="1" min="10" max="10"/>
    <col width="20" customWidth="1" min="11" max="11"/>
  </cols>
  <sheetData>
    <row r="1" ht="28" customHeight="1">
      <c r="A1" s="1" t="inlineStr">
        <is>
          <t>Product Leakage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Return and discount leakage from committed sample transactions/products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2" customHeight="1">
      <c r="A4" s="4" t="inlineStr">
        <is>
          <t>Product ID</t>
        </is>
      </c>
      <c r="B4" s="4" t="inlineStr">
        <is>
          <t>Category</t>
        </is>
      </c>
      <c r="C4" s="4" t="inlineStr">
        <is>
          <t>Sub-category</t>
        </is>
      </c>
      <c r="D4" s="4" t="inlineStr">
        <is>
          <t>Lifecycle Stage</t>
        </is>
      </c>
      <c r="E4" s="4" t="inlineStr">
        <is>
          <t>Orders</t>
        </is>
      </c>
      <c r="F4" s="4" t="inlineStr">
        <is>
          <t>Revenue</t>
        </is>
      </c>
      <c r="G4" s="4" t="inlineStr">
        <is>
          <t>Discount Leakage</t>
        </is>
      </c>
      <c r="H4" s="4" t="inlineStr">
        <is>
          <t>Return Leakage</t>
        </is>
      </c>
      <c r="I4" s="4" t="inlineStr">
        <is>
          <t>Return-Adjusted Profit</t>
        </is>
      </c>
      <c r="J4" s="4" t="inlineStr">
        <is>
          <t>Leakage Rate</t>
        </is>
      </c>
      <c r="K4" s="4" t="inlineStr">
        <is>
          <t>Action Flag</t>
        </is>
      </c>
    </row>
    <row r="5" ht="22" customHeight="1">
      <c r="A5" s="5" t="inlineStr">
        <is>
          <t>P0001</t>
        </is>
      </c>
      <c r="B5" s="5" t="inlineStr">
        <is>
          <t>Electronics</t>
        </is>
      </c>
      <c r="C5" s="5" t="inlineStr">
        <is>
          <t>Headphones</t>
        </is>
      </c>
      <c r="D5" s="5" t="inlineStr">
        <is>
          <t>Growth</t>
        </is>
      </c>
      <c r="E5" s="14" t="n">
        <v>1</v>
      </c>
      <c r="F5" s="10" t="n">
        <v>129.99</v>
      </c>
      <c r="G5" s="10" t="n">
        <v>12.999</v>
      </c>
      <c r="H5" s="10" t="n">
        <v>0</v>
      </c>
      <c r="I5" s="10" t="n">
        <v>41.6</v>
      </c>
      <c r="J5" s="16">
        <f>IFERROR((G5+H5)/(F5+G5+H5),0)</f>
        <v/>
      </c>
      <c r="K5" s="7">
        <f>IF(I5&lt;0,"Investigate returns",IF(J5&gt;0.2,"Review leakage","Stable"))</f>
        <v/>
      </c>
    </row>
    <row r="6" ht="22" customHeight="1">
      <c r="A6" s="8" t="inlineStr">
        <is>
          <t>P0002</t>
        </is>
      </c>
      <c r="B6" s="8" t="inlineStr">
        <is>
          <t>Home</t>
        </is>
      </c>
      <c r="C6" s="8" t="inlineStr">
        <is>
          <t>Kitchen Storage</t>
        </is>
      </c>
      <c r="D6" s="8" t="inlineStr">
        <is>
          <t>Mature</t>
        </is>
      </c>
      <c r="E6" s="13" t="n">
        <v>1</v>
      </c>
      <c r="F6" s="17" t="n">
        <v>79.98</v>
      </c>
      <c r="G6" s="17" t="n">
        <v>19.995</v>
      </c>
      <c r="H6" s="17" t="n">
        <v>0</v>
      </c>
      <c r="I6" s="17" t="n">
        <v>7.99</v>
      </c>
      <c r="J6" s="18">
        <f>IFERROR((G6+H6)/(F6+G6+H6),0)</f>
        <v/>
      </c>
      <c r="K6" s="7">
        <f>IF(I6&lt;0,"Investigate returns",IF(J6&gt;0.2,"Review leakage","Stable"))</f>
        <v/>
      </c>
    </row>
    <row r="7" ht="22" customHeight="1">
      <c r="A7" s="5" t="inlineStr">
        <is>
          <t>P0003</t>
        </is>
      </c>
      <c r="B7" s="5" t="inlineStr">
        <is>
          <t>Beauty</t>
        </is>
      </c>
      <c r="C7" s="5" t="inlineStr">
        <is>
          <t>Skincare</t>
        </is>
      </c>
      <c r="D7" s="5" t="inlineStr">
        <is>
          <t>Growth</t>
        </is>
      </c>
      <c r="E7" s="14" t="n">
        <v>1</v>
      </c>
      <c r="F7" s="10" t="n">
        <v>74.97</v>
      </c>
      <c r="G7" s="10" t="n">
        <v>0</v>
      </c>
      <c r="H7" s="10" t="n">
        <v>0</v>
      </c>
      <c r="I7" s="10" t="n">
        <v>43.48</v>
      </c>
      <c r="J7" s="16">
        <f>IFERROR((G7+H7)/(F7+G7+H7),0)</f>
        <v/>
      </c>
      <c r="K7" s="7">
        <f>IF(I7&lt;0,"Investigate returns",IF(J7&gt;0.2,"Review leakage","Stable"))</f>
        <v/>
      </c>
    </row>
    <row r="8" ht="22" customHeight="1">
      <c r="A8" s="8" t="inlineStr">
        <is>
          <t>P0004</t>
        </is>
      </c>
      <c r="B8" s="8" t="inlineStr">
        <is>
          <t>Apparel</t>
        </is>
      </c>
      <c r="C8" s="8" t="inlineStr">
        <is>
          <t>Athleisure</t>
        </is>
      </c>
      <c r="D8" s="8" t="inlineStr">
        <is>
          <t>Mature</t>
        </is>
      </c>
      <c r="E8" s="13" t="n">
        <v>1</v>
      </c>
      <c r="F8" s="17" t="n">
        <v>59.99</v>
      </c>
      <c r="G8" s="17" t="n">
        <v>8.9985</v>
      </c>
      <c r="H8" s="17" t="n">
        <v>59.99</v>
      </c>
      <c r="I8" s="17" t="n">
        <v>-101.38</v>
      </c>
      <c r="J8" s="18">
        <f>IFERROR((G8+H8)/(F8+G8+H8),0)</f>
        <v/>
      </c>
      <c r="K8" s="7">
        <f>IF(I8&lt;0,"Investigate returns",IF(J8&gt;0.2,"Review leakage","Stable"))</f>
        <v/>
      </c>
    </row>
    <row r="9" ht="22" customHeight="1">
      <c r="A9" s="5" t="inlineStr">
        <is>
          <t>P0005</t>
        </is>
      </c>
      <c r="B9" s="5" t="inlineStr">
        <is>
          <t>Outdoor</t>
        </is>
      </c>
      <c r="C9" s="5" t="inlineStr">
        <is>
          <t>Backpacks</t>
        </is>
      </c>
      <c r="D9" s="5" t="inlineStr">
        <is>
          <t>Launch</t>
        </is>
      </c>
      <c r="E9" s="14" t="n">
        <v>1</v>
      </c>
      <c r="F9" s="10" t="n">
        <v>89.98999999999999</v>
      </c>
      <c r="G9" s="10" t="n">
        <v>4.4995</v>
      </c>
      <c r="H9" s="10" t="n">
        <v>0</v>
      </c>
      <c r="I9" s="10" t="n">
        <v>30.6</v>
      </c>
      <c r="J9" s="16">
        <f>IFERROR((G9+H9)/(F9+G9+H9),0)</f>
        <v/>
      </c>
      <c r="K9" s="7">
        <f>IF(I9&lt;0,"Investigate returns",IF(J9&gt;0.2,"Review leakage","Stable"))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6" customWidth="1" min="4" max="4"/>
    <col width="15" customWidth="1" min="5" max="5"/>
    <col width="22" customWidth="1" min="6" max="6"/>
    <col width="18" customWidth="1" min="7" max="7"/>
    <col width="20" customWidth="1" min="8" max="8"/>
    <col width="16" customWidth="1" min="9" max="9"/>
    <col width="22" customWidth="1" min="10" max="10"/>
    <col width="12" customWidth="1" min="11" max="11"/>
    <col width="18" customWidth="1" min="12" max="12"/>
  </cols>
  <sheetData>
    <row r="1" ht="28" customHeight="1">
      <c r="A1" s="1" t="inlineStr">
        <is>
          <t>Campaign ROI 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Editable local scenario model for activation list planning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4" t="inlineStr">
        <is>
          <t>Campaign</t>
        </is>
      </c>
      <c r="B4" s="4" t="inlineStr">
        <is>
          <t>Audience Size</t>
        </is>
      </c>
      <c r="C4" s="4" t="inlineStr">
        <is>
          <t>Expected Response Rate</t>
        </is>
      </c>
      <c r="D4" s="4" t="inlineStr">
        <is>
          <t>Incremental Revenue / Responder</t>
        </is>
      </c>
      <c r="E4" s="4" t="inlineStr">
        <is>
          <t>Gross Margin %</t>
        </is>
      </c>
      <c r="F4" s="4" t="inlineStr">
        <is>
          <t>Campaign Cost / Customer</t>
        </is>
      </c>
      <c r="G4" s="4" t="inlineStr">
        <is>
          <t>Expected Revenue</t>
        </is>
      </c>
      <c r="H4" s="4" t="inlineStr">
        <is>
          <t>Expected Gross Profit</t>
        </is>
      </c>
      <c r="I4" s="4" t="inlineStr">
        <is>
          <t>Campaign Cost</t>
        </is>
      </c>
      <c r="J4" s="4" t="inlineStr">
        <is>
          <t>Net Incremental Profit</t>
        </is>
      </c>
      <c r="K4" s="4" t="inlineStr">
        <is>
          <t>ROI</t>
        </is>
      </c>
      <c r="L4" s="4" t="inlineStr">
        <is>
          <t>Decision</t>
        </is>
      </c>
    </row>
    <row r="5" ht="22" customHeight="1">
      <c r="A5" s="7" t="inlineStr">
        <is>
          <t>High churn risk save journey</t>
        </is>
      </c>
      <c r="B5" s="14" t="n">
        <v>5000</v>
      </c>
      <c r="C5" s="6" t="n">
        <v>0.08</v>
      </c>
      <c r="D5" s="10" t="n">
        <v>85</v>
      </c>
      <c r="E5" s="6" t="n">
        <v>0.42</v>
      </c>
      <c r="F5" s="10" t="n">
        <v>3.5</v>
      </c>
      <c r="G5" s="19">
        <f>B5*C5*D5</f>
        <v/>
      </c>
      <c r="H5" s="19">
        <f>G5*E5</f>
        <v/>
      </c>
      <c r="I5" s="19">
        <f>B5*F5</f>
        <v/>
      </c>
      <c r="J5" s="19">
        <f>H5-I5</f>
        <v/>
      </c>
      <c r="K5" s="16">
        <f>IFERROR(J5/I5,0)</f>
        <v/>
      </c>
      <c r="L5" s="20">
        <f>IF(J5&gt;0,"Test candidate","Do not scale")</f>
        <v/>
      </c>
    </row>
    <row r="6" ht="22" customHeight="1">
      <c r="A6" s="8" t="inlineStr">
        <is>
          <t>Win-back one-time buyers</t>
        </is>
      </c>
      <c r="B6" s="13" t="n">
        <v>8000</v>
      </c>
      <c r="C6" s="9" t="n">
        <v>0.05</v>
      </c>
      <c r="D6" s="17" t="n">
        <v>72</v>
      </c>
      <c r="E6" s="9" t="n">
        <v>0.36</v>
      </c>
      <c r="F6" s="17" t="n">
        <v>2.25</v>
      </c>
      <c r="G6" s="21">
        <f>B6*C6*D6</f>
        <v/>
      </c>
      <c r="H6" s="21">
        <f>G6*E6</f>
        <v/>
      </c>
      <c r="I6" s="21">
        <f>B6*F6</f>
        <v/>
      </c>
      <c r="J6" s="21">
        <f>H6-I6</f>
        <v/>
      </c>
      <c r="K6" s="18">
        <f>IFERROR(J6/I6,0)</f>
        <v/>
      </c>
      <c r="L6" s="20">
        <f>IF(J6&gt;0,"Test candidate","Do not scale")</f>
        <v/>
      </c>
    </row>
    <row r="7" ht="22" customHeight="1">
      <c r="A7" s="7" t="inlineStr">
        <is>
          <t>High CLV loyalty upgrade</t>
        </is>
      </c>
      <c r="B7" s="14" t="n">
        <v>2500</v>
      </c>
      <c r="C7" s="6" t="n">
        <v>0.1</v>
      </c>
      <c r="D7" s="10" t="n">
        <v>110</v>
      </c>
      <c r="E7" s="6" t="n">
        <v>0.45</v>
      </c>
      <c r="F7" s="10" t="n">
        <v>5</v>
      </c>
      <c r="G7" s="19">
        <f>B7*C7*D7</f>
        <v/>
      </c>
      <c r="H7" s="19">
        <f>G7*E7</f>
        <v/>
      </c>
      <c r="I7" s="19">
        <f>B7*F7</f>
        <v/>
      </c>
      <c r="J7" s="19">
        <f>H7-I7</f>
        <v/>
      </c>
      <c r="K7" s="16">
        <f>IFERROR(J7/I7,0)</f>
        <v/>
      </c>
      <c r="L7" s="20">
        <f>IF(J7&gt;0,"Test candidate","Do not scale")</f>
        <v/>
      </c>
    </row>
    <row r="8" ht="22" customHeight="1">
      <c r="A8" s="8" t="inlineStr">
        <is>
          <t>Cross-sell category bundle</t>
        </is>
      </c>
      <c r="B8" s="13" t="n">
        <v>6500</v>
      </c>
      <c r="C8" s="9" t="n">
        <v>0.06</v>
      </c>
      <c r="D8" s="17" t="n">
        <v>64</v>
      </c>
      <c r="E8" s="9" t="n">
        <v>0.38</v>
      </c>
      <c r="F8" s="17" t="n">
        <v>2.75</v>
      </c>
      <c r="G8" s="21">
        <f>B8*C8*D8</f>
        <v/>
      </c>
      <c r="H8" s="21">
        <f>G8*E8</f>
        <v/>
      </c>
      <c r="I8" s="21">
        <f>B8*F8</f>
        <v/>
      </c>
      <c r="J8" s="21">
        <f>H8-I8</f>
        <v/>
      </c>
      <c r="K8" s="18">
        <f>IFERROR(J8/I8,0)</f>
        <v/>
      </c>
      <c r="L8" s="20">
        <f>IF(J8&gt;0,"Test candidate","Do not scale")</f>
        <v/>
      </c>
    </row>
    <row r="9" ht="22" customHeight="1">
      <c r="A9" s="5" t="inlineStr">
        <is>
          <t>Discount-sensitive guardrail test</t>
        </is>
      </c>
      <c r="B9" s="14" t="n">
        <v>3000</v>
      </c>
      <c r="C9" s="6" t="n">
        <v>0.04</v>
      </c>
      <c r="D9" s="10" t="n">
        <v>55</v>
      </c>
      <c r="E9" s="6" t="n">
        <v>0.32</v>
      </c>
      <c r="F9" s="10" t="n">
        <v>1.5</v>
      </c>
      <c r="G9" s="19">
        <f>B9*C9*D9</f>
        <v/>
      </c>
      <c r="H9" s="19">
        <f>G9*E9</f>
        <v/>
      </c>
      <c r="I9" s="19">
        <f>B9*F9</f>
        <v/>
      </c>
      <c r="J9" s="19">
        <f>H9-I9</f>
        <v/>
      </c>
      <c r="K9" s="16">
        <f>IFERROR(J9/I9,0)</f>
        <v/>
      </c>
      <c r="L9" s="20">
        <f>IF(J9&gt;0,"Test candidate","Do not scale")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8" customWidth="1" min="3" max="3"/>
    <col width="18" customWidth="1" min="4" max="4"/>
    <col width="24" customWidth="1" min="5" max="5"/>
  </cols>
  <sheetData>
    <row r="1" ht="28" customHeight="1">
      <c r="A1" s="1" t="inlineStr">
        <is>
          <t>Data Dictionary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KPI definitions, source artifacts, and workbook notes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Item</t>
        </is>
      </c>
      <c r="B4" s="4" t="inlineStr">
        <is>
          <t>Formula / Source</t>
        </is>
      </c>
      <c r="C4" s="4" t="inlineStr">
        <is>
          <t>Business Meaning</t>
        </is>
      </c>
      <c r="D4" s="4" t="inlineStr">
        <is>
          <t>Grain</t>
        </is>
      </c>
      <c r="E4" s="4" t="inlineStr">
        <is>
          <t>Owner / Usage</t>
        </is>
      </c>
      <c r="F4" s="2" t="n"/>
      <c r="G4" s="2" t="n"/>
      <c r="H4" s="2" t="n"/>
    </row>
    <row r="5" ht="22" customHeight="1">
      <c r="A5" s="5" t="inlineStr">
        <is>
          <t>Revenue</t>
        </is>
      </c>
      <c r="B5" s="5" t="inlineStr">
        <is>
          <t>SUM(fact_orders[net_revenue])</t>
        </is>
      </c>
      <c r="C5" s="5" t="inlineStr">
        <is>
          <t>Net selling revenue after order status and discounts.</t>
        </is>
      </c>
      <c r="D5" s="5" t="inlineStr">
        <is>
          <t>order</t>
        </is>
      </c>
      <c r="E5" s="5" t="inlineStr">
        <is>
          <t>Finance Analytics</t>
        </is>
      </c>
      <c r="F5" s="2" t="n"/>
      <c r="G5" s="2" t="n"/>
      <c r="H5" s="2" t="n"/>
    </row>
    <row r="6" ht="22" customHeight="1">
      <c r="A6" s="8" t="inlineStr">
        <is>
          <t>Gross Profit</t>
        </is>
      </c>
      <c r="B6" s="8" t="inlineStr">
        <is>
          <t>SUM(gross_revenue - cost)</t>
        </is>
      </c>
      <c r="C6" s="8" t="inlineStr">
        <is>
          <t>Pre-return order profit proxy.</t>
        </is>
      </c>
      <c r="D6" s="8" t="inlineStr">
        <is>
          <t>order</t>
        </is>
      </c>
      <c r="E6" s="8" t="inlineStr">
        <is>
          <t>Finance Analytics</t>
        </is>
      </c>
      <c r="F6" s="2" t="n"/>
      <c r="G6" s="2" t="n"/>
      <c r="H6" s="2" t="n"/>
    </row>
    <row r="7" ht="22" customHeight="1">
      <c r="A7" s="5" t="inlineStr">
        <is>
          <t>Net Profit</t>
        </is>
      </c>
      <c r="B7" s="5" t="inlineStr">
        <is>
          <t>SUM(return_adjusted_profit)</t>
        </is>
      </c>
      <c r="C7" s="5" t="inlineStr">
        <is>
          <t>Profit after return impact.</t>
        </is>
      </c>
      <c r="D7" s="5" t="inlineStr">
        <is>
          <t>order</t>
        </is>
      </c>
      <c r="E7" s="5" t="inlineStr">
        <is>
          <t>Finance Analytics</t>
        </is>
      </c>
      <c r="F7" s="2" t="n"/>
      <c r="G7" s="2" t="n"/>
      <c r="H7" s="2" t="n"/>
    </row>
    <row r="8" ht="22" customHeight="1">
      <c r="A8" s="8" t="inlineStr">
        <is>
          <t>Margin %</t>
        </is>
      </c>
      <c r="B8" s="8" t="inlineStr">
        <is>
          <t>return_adjusted_profit / net_revenue</t>
        </is>
      </c>
      <c r="C8" s="8" t="inlineStr">
        <is>
          <t>Return-adjusted profitability rate.</t>
        </is>
      </c>
      <c r="D8" s="8" t="inlineStr">
        <is>
          <t>order/category/product</t>
        </is>
      </c>
      <c r="E8" s="8" t="inlineStr">
        <is>
          <t>Finance Analytics</t>
        </is>
      </c>
      <c r="F8" s="2" t="n"/>
      <c r="G8" s="2" t="n"/>
      <c r="H8" s="2" t="n"/>
    </row>
    <row r="9" ht="22" customHeight="1">
      <c r="A9" s="5" t="inlineStr">
        <is>
          <t>Return-adjusted Revenue</t>
        </is>
      </c>
      <c r="B9" s="5" t="inlineStr">
        <is>
          <t>net_revenue - return_loss</t>
        </is>
      </c>
      <c r="C9" s="5" t="inlineStr">
        <is>
          <t>Revenue after return leakage.</t>
        </is>
      </c>
      <c r="D9" s="5" t="inlineStr">
        <is>
          <t>order</t>
        </is>
      </c>
      <c r="E9" s="5" t="inlineStr">
        <is>
          <t>Finance Analytics</t>
        </is>
      </c>
      <c r="F9" s="2" t="n"/>
      <c r="G9" s="2" t="n"/>
      <c r="H9" s="2" t="n"/>
    </row>
    <row r="10" ht="22" customHeight="1">
      <c r="A10" s="8" t="inlineStr">
        <is>
          <t>Return-adjusted Profit</t>
        </is>
      </c>
      <c r="B10" s="8" t="inlineStr">
        <is>
          <t>SUM(return_adjusted_profit)</t>
        </is>
      </c>
      <c r="C10" s="8" t="inlineStr">
        <is>
          <t>Profit after returns and discounts.</t>
        </is>
      </c>
      <c r="D10" s="8" t="inlineStr">
        <is>
          <t>order</t>
        </is>
      </c>
      <c r="E10" s="8" t="inlineStr">
        <is>
          <t>Finance Analytics</t>
        </is>
      </c>
      <c r="F10" s="2" t="n"/>
      <c r="G10" s="2" t="n"/>
      <c r="H10" s="2" t="n"/>
    </row>
    <row r="11" ht="22" customHeight="1">
      <c r="A11" s="5" t="inlineStr">
        <is>
          <t>Churn Rate</t>
        </is>
      </c>
      <c r="B11" s="5" t="inlineStr">
        <is>
          <t>AVG(churn_label)</t>
        </is>
      </c>
      <c r="C11" s="5" t="inlineStr">
        <is>
          <t>Share of customers likely inactive or lapsed.</t>
        </is>
      </c>
      <c r="D11" s="5" t="inlineStr">
        <is>
          <t>customer</t>
        </is>
      </c>
      <c r="E11" s="5" t="inlineStr">
        <is>
          <t>Customer Analytics</t>
        </is>
      </c>
      <c r="F11" s="2" t="n"/>
      <c r="G11" s="2" t="n"/>
      <c r="H11" s="2" t="n"/>
    </row>
    <row r="12" ht="22" customHeight="1">
      <c r="A12" s="8" t="inlineStr">
        <is>
          <t>Retention Rate</t>
        </is>
      </c>
      <c r="B12" s="8" t="inlineStr">
        <is>
          <t>1 - churn_rate</t>
        </is>
      </c>
      <c r="C12" s="8" t="inlineStr">
        <is>
          <t>Share of customers retained.</t>
        </is>
      </c>
      <c r="D12" s="8" t="inlineStr">
        <is>
          <t>customer</t>
        </is>
      </c>
      <c r="E12" s="8" t="inlineStr">
        <is>
          <t>Customer Analytics</t>
        </is>
      </c>
      <c r="F12" s="2" t="n"/>
      <c r="G12" s="2" t="n"/>
      <c r="H12" s="2" t="n"/>
    </row>
    <row r="13" ht="22" customHeight="1">
      <c r="A13" s="5" t="inlineStr">
        <is>
          <t>Repeat Purchase Rate</t>
        </is>
      </c>
      <c r="B13" s="5" t="inlineStr">
        <is>
          <t>AVG(repeat_purchase_flag)</t>
        </is>
      </c>
      <c r="C13" s="5" t="inlineStr">
        <is>
          <t>First-to-repeat conversion health.</t>
        </is>
      </c>
      <c r="D13" s="5" t="inlineStr">
        <is>
          <t>customer</t>
        </is>
      </c>
      <c r="E13" s="5" t="inlineStr">
        <is>
          <t>Customer Analytics</t>
        </is>
      </c>
      <c r="F13" s="2" t="n"/>
      <c r="G13" s="2" t="n"/>
      <c r="H13" s="2" t="n"/>
    </row>
    <row r="14" ht="22" customHeight="1">
      <c r="A14" s="8" t="inlineStr">
        <is>
          <t>Average Order Value</t>
        </is>
      </c>
      <c r="B14" s="8" t="inlineStr">
        <is>
          <t>net_revenue / completed_orders</t>
        </is>
      </c>
      <c r="C14" s="8" t="inlineStr">
        <is>
          <t>Average completed order size.</t>
        </is>
      </c>
      <c r="D14" s="8" t="inlineStr">
        <is>
          <t>order</t>
        </is>
      </c>
      <c r="E14" s="8" t="inlineStr">
        <is>
          <t>BI Engineering</t>
        </is>
      </c>
      <c r="F14" s="2" t="n"/>
      <c r="G14" s="2" t="n"/>
      <c r="H14" s="2" t="n"/>
    </row>
    <row r="15" ht="22" customHeight="1">
      <c r="A15" s="5" t="inlineStr">
        <is>
          <t>Customer Lifetime Value</t>
        </is>
      </c>
      <c r="B15" s="5" t="inlineStr">
        <is>
          <t>historical_clv + predicted_future_profit</t>
        </is>
      </c>
      <c r="C15" s="5" t="inlineStr">
        <is>
          <t>Expected customer economic value.</t>
        </is>
      </c>
      <c r="D15" s="5" t="inlineStr">
        <is>
          <t>customer</t>
        </is>
      </c>
      <c r="E15" s="5" t="inlineStr">
        <is>
          <t>Customer Analytics</t>
        </is>
      </c>
      <c r="F15" s="2" t="n"/>
      <c r="G15" s="2" t="n"/>
      <c r="H15" s="2" t="n"/>
    </row>
    <row r="16" ht="22" customHeight="1">
      <c r="A16" s="8" t="inlineStr">
        <is>
          <t>Predicted CLV</t>
        </is>
      </c>
      <c r="B16" s="8" t="inlineStr">
        <is>
          <t>AVG(predicted_12m_clv)</t>
        </is>
      </c>
      <c r="C16" s="8" t="inlineStr">
        <is>
          <t>Modeled 12-month customer value.</t>
        </is>
      </c>
      <c r="D16" s="8" t="inlineStr">
        <is>
          <t>customer</t>
        </is>
      </c>
      <c r="E16" s="8" t="inlineStr">
        <is>
          <t>Customer Analytics</t>
        </is>
      </c>
      <c r="F16" s="2" t="n"/>
      <c r="G16" s="2" t="n"/>
      <c r="H16" s="2" t="n"/>
    </row>
    <row r="17" ht="22" customHeight="1">
      <c r="A17" s="5" t="inlineStr">
        <is>
          <t>Revenue Per Customer</t>
        </is>
      </c>
      <c r="B17" s="5" t="inlineStr">
        <is>
          <t>net_revenue / customers</t>
        </is>
      </c>
      <c r="C17" s="5" t="inlineStr">
        <is>
          <t>Customer monetization rate.</t>
        </is>
      </c>
      <c r="D17" s="5" t="inlineStr">
        <is>
          <t>customer</t>
        </is>
      </c>
      <c r="E17" s="5" t="inlineStr">
        <is>
          <t>Finance Analytics</t>
        </is>
      </c>
      <c r="F17" s="2" t="n"/>
      <c r="G17" s="2" t="n"/>
      <c r="H17" s="2" t="n"/>
    </row>
    <row r="18" ht="22" customHeight="1">
      <c r="A18" s="8" t="inlineStr">
        <is>
          <t>Purchase Frequency</t>
        </is>
      </c>
      <c r="B18" s="8" t="inlineStr">
        <is>
          <t>orders / customer_age_days</t>
        </is>
      </c>
      <c r="C18" s="8" t="inlineStr">
        <is>
          <t>Normalized buying frequency.</t>
        </is>
      </c>
      <c r="D18" s="8" t="inlineStr">
        <is>
          <t>customer</t>
        </is>
      </c>
      <c r="E18" s="8" t="inlineStr">
        <is>
          <t>Customer Analytics</t>
        </is>
      </c>
      <c r="F18" s="2" t="n"/>
      <c r="G18" s="2" t="n"/>
      <c r="H18" s="2" t="n"/>
    </row>
    <row r="19" ht="22" customHeight="1">
      <c r="A19" s="5" t="inlineStr">
        <is>
          <t>Discount Rate</t>
        </is>
      </c>
      <c r="B19" s="5" t="inlineStr">
        <is>
          <t>discount_amount / gross_revenue</t>
        </is>
      </c>
      <c r="C19" s="5" t="inlineStr">
        <is>
          <t>Promotion dependency.</t>
        </is>
      </c>
      <c r="D19" s="5" t="inlineStr">
        <is>
          <t>order/customer/product</t>
        </is>
      </c>
      <c r="E19" s="5" t="inlineStr">
        <is>
          <t>Finance Analytics</t>
        </is>
      </c>
      <c r="F19" s="2" t="n"/>
      <c r="G19" s="2" t="n"/>
      <c r="H19" s="2" t="n"/>
    </row>
    <row r="20" ht="22" customHeight="1">
      <c r="A20" s="8" t="inlineStr">
        <is>
          <t>Return Rate</t>
        </is>
      </c>
      <c r="B20" s="8" t="inlineStr">
        <is>
          <t>returned_orders / orders</t>
        </is>
      </c>
      <c r="C20" s="8" t="inlineStr">
        <is>
          <t>Product return leakage.</t>
        </is>
      </c>
      <c r="D20" s="8" t="inlineStr">
        <is>
          <t>order/product</t>
        </is>
      </c>
      <c r="E20" s="8" t="inlineStr">
        <is>
          <t>Product Analytics</t>
        </is>
      </c>
      <c r="F20" s="2" t="n"/>
      <c r="G20" s="2" t="n"/>
      <c r="H20" s="2" t="n"/>
    </row>
    <row r="21" ht="22" customHeight="1">
      <c r="A21" s="5" t="inlineStr">
        <is>
          <t>Engagement Rate</t>
        </is>
      </c>
      <c r="B21" s="5" t="inlineStr">
        <is>
          <t>clicks / email_opens</t>
        </is>
      </c>
      <c r="C21" s="5" t="inlineStr">
        <is>
          <t>Lifecycle engagement quality.</t>
        </is>
      </c>
      <c r="D21" s="5" t="inlineStr">
        <is>
          <t>customer</t>
        </is>
      </c>
      <c r="E21" s="5" t="inlineStr">
        <is>
          <t>Lifecycle Marketing</t>
        </is>
      </c>
      <c r="F21" s="2" t="n"/>
      <c r="G21" s="2" t="n"/>
      <c r="H21" s="2" t="n"/>
    </row>
    <row r="22" ht="22" customHeight="1">
      <c r="A22" s="8" t="inlineStr">
        <is>
          <t>Cohort Retention %</t>
        </is>
      </c>
      <c r="B22" s="8" t="inlineStr">
        <is>
          <t>active_cohort_customers / cohort_customers</t>
        </is>
      </c>
      <c r="C22" s="8" t="inlineStr">
        <is>
          <t>Month-index retention by cohort.</t>
        </is>
      </c>
      <c r="D22" s="8" t="inlineStr">
        <is>
          <t>cohort month</t>
        </is>
      </c>
      <c r="E22" s="8" t="inlineStr">
        <is>
          <t>Customer Analytics</t>
        </is>
      </c>
      <c r="F22" s="2" t="n"/>
      <c r="G22" s="2" t="n"/>
      <c r="H22" s="2" t="n"/>
    </row>
    <row r="23" ht="22" customHeight="1">
      <c r="A23" s="5" t="inlineStr">
        <is>
          <t>Segment Contribution %</t>
        </is>
      </c>
      <c r="B23" s="5" t="inlineStr">
        <is>
          <t>segment_revenue / total_revenue</t>
        </is>
      </c>
      <c r="C23" s="5" t="inlineStr">
        <is>
          <t>Segment share of business performance.</t>
        </is>
      </c>
      <c r="D23" s="5" t="inlineStr">
        <is>
          <t>segment</t>
        </is>
      </c>
      <c r="E23" s="5" t="inlineStr">
        <is>
          <t>BI Engineering</t>
        </is>
      </c>
      <c r="F23" s="2" t="n"/>
      <c r="G23" s="2" t="n"/>
      <c r="H23" s="2" t="n"/>
    </row>
    <row r="24" ht="22" customHeight="1">
      <c r="A24" s="8" t="inlineStr">
        <is>
          <t>Product Affinity Score</t>
        </is>
      </c>
      <c r="B24" s="8" t="inlineStr">
        <is>
          <t>confidence * lift</t>
        </is>
      </c>
      <c r="C24" s="8" t="inlineStr">
        <is>
          <t>Cross-sell strength between categories/products.</t>
        </is>
      </c>
      <c r="D24" s="8" t="inlineStr">
        <is>
          <t>product pair</t>
        </is>
      </c>
      <c r="E24" s="8" t="inlineStr">
        <is>
          <t>Product Analytics</t>
        </is>
      </c>
      <c r="F24" s="2" t="n"/>
      <c r="G24" s="2" t="n"/>
      <c r="H24" s="2" t="n"/>
    </row>
    <row r="25" ht="22" customHeight="1">
      <c r="A25" s="5" t="inlineStr">
        <is>
          <t>Retention Investment Priority Score</t>
        </is>
      </c>
      <c r="B25" s="5" t="inlineStr">
        <is>
          <t>rank(churn risk, CLV, profit at risk)</t>
        </is>
      </c>
      <c r="C25" s="5" t="inlineStr">
        <is>
          <t>Targeting score for lifecycle spend.</t>
        </is>
      </c>
      <c r="D25" s="5" t="inlineStr">
        <is>
          <t>customer</t>
        </is>
      </c>
      <c r="E25" s="5" t="inlineStr">
        <is>
          <t>Lifecycle Marketing</t>
        </is>
      </c>
      <c r="F25" s="2" t="n"/>
      <c r="G25" s="2" t="n"/>
      <c r="H25" s="2" t="n"/>
    </row>
    <row r="26" ht="22" customHeight="1">
      <c r="A26" s="8" t="inlineStr">
        <is>
          <t>Revenue Leakage from Returns</t>
        </is>
      </c>
      <c r="B26" s="8" t="inlineStr">
        <is>
          <t>SUM(return_loss)</t>
        </is>
      </c>
      <c r="C26" s="8" t="inlineStr">
        <is>
          <t>Revenue/profit impact of returns.</t>
        </is>
      </c>
      <c r="D26" s="8" t="inlineStr">
        <is>
          <t>order/product</t>
        </is>
      </c>
      <c r="E26" s="8" t="inlineStr">
        <is>
          <t>Finance Analytics</t>
        </is>
      </c>
      <c r="F26" s="2" t="n"/>
      <c r="G26" s="2" t="n"/>
      <c r="H26" s="2" t="n"/>
    </row>
    <row r="27" ht="22" customHeight="1">
      <c r="A27" s="5" t="inlineStr">
        <is>
          <t>Synthetic data note</t>
        </is>
      </c>
      <c r="B27" s="5" t="inlineStr">
        <is>
          <t>Local generated/sample outputs</t>
        </is>
      </c>
      <c r="C27" s="5" t="inlineStr">
        <is>
          <t>Workbook uses synthetic data and committed sample artifacts only.</t>
        </is>
      </c>
      <c r="D27" s="5" t="inlineStr">
        <is>
          <t>Workbook</t>
        </is>
      </c>
      <c r="E27" s="5" t="inlineStr">
        <is>
          <t>Repository documentation</t>
        </is>
      </c>
      <c r="F27" s="2" t="n"/>
      <c r="G27" s="2" t="n"/>
      <c r="H27" s="2" t="n"/>
    </row>
    <row r="28" ht="22" customHeight="1">
      <c r="A28" s="8" t="inlineStr">
        <is>
          <t>Power BI implementation</t>
        </is>
      </c>
      <c r="B28" s="8" t="inlineStr">
        <is>
          <t>dashboards/specs/powerbi_implementation_guide.md</t>
        </is>
      </c>
      <c r="C28" s="8" t="inlineStr">
        <is>
          <t>Build guide for dataset, relationships, measures, slicers, and QA.</t>
        </is>
      </c>
      <c r="D28" s="8" t="inlineStr">
        <is>
          <t>BI model</t>
        </is>
      </c>
      <c r="E28" s="8" t="inlineStr">
        <is>
          <t>BI / analytics team</t>
        </is>
      </c>
      <c r="F28" s="2" t="n"/>
      <c r="G28" s="2" t="n"/>
      <c r="H28" s="2" t="n"/>
    </row>
    <row r="29" ht="22" customHeight="1">
      <c r="A29" s="5" t="inlineStr">
        <is>
          <t>DAX catalog</t>
        </is>
      </c>
      <c r="B29" s="5" t="inlineStr">
        <is>
          <t>dashboards/specs/dax_measure_catalog.md</t>
        </is>
      </c>
      <c r="C29" s="5" t="inlineStr">
        <is>
          <t>Measure formulas for governed reporting.</t>
        </is>
      </c>
      <c r="D29" s="5" t="inlineStr">
        <is>
          <t>Measure</t>
        </is>
      </c>
      <c r="E29" s="5" t="inlineStr">
        <is>
          <t>BI / analytics team</t>
        </is>
      </c>
      <c r="F29" s="2" t="n"/>
      <c r="G29" s="2" t="n"/>
      <c r="H29" s="2" t="n"/>
    </row>
    <row r="30" ht="22" customHeight="1">
      <c r="A30" s="8" t="inlineStr">
        <is>
          <t>Business recommendations</t>
        </is>
      </c>
      <c r="B30" s="8" t="inlineStr">
        <is>
          <t>reports/business_recommendations.md</t>
        </is>
      </c>
      <c r="C30" s="8" t="inlineStr">
        <is>
          <t>Stakeholder recommendations grounded in synthetic/local outputs.</t>
        </is>
      </c>
      <c r="D30" s="8" t="inlineStr">
        <is>
          <t>Report</t>
        </is>
      </c>
      <c r="E30" s="8" t="inlineStr">
        <is>
          <t>Analytics team</t>
        </is>
      </c>
      <c r="F30" s="2" t="n"/>
      <c r="G30" s="2" t="n"/>
      <c r="H3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2026-06-16T17:46:47Z</dcterms:created>
  <dcterms:modified xmlns:dcterms="http://purl.org/dc/terms/" xmlns:xsi="http://www.w3.org/2001/XMLSchema-instance" xsi:type="dcterms:W3CDTF">2026-06-16T17:46:47Z</dcterms:modified>
</cp:coreProperties>
</file>